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taff Schedule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dd\ d\ mmm\ yyyy"/>
    <numFmt numFmtId="165" formatCode="0.0"/>
  </numFmts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</fonts>
  <fills count="6">
    <fill>
      <patternFill/>
    </fill>
    <fill>
      <patternFill patternType="gray125"/>
    </fill>
    <fill>
      <patternFill patternType="solid">
        <fgColor rgb="FF173B7A"/>
        <bgColor rgb="FF333399"/>
      </patternFill>
    </fill>
    <fill>
      <patternFill patternType="solid">
        <fgColor rgb="FFE7F4EA"/>
        <bgColor rgb="FFFFF3E6"/>
      </patternFill>
    </fill>
    <fill>
      <patternFill patternType="solid">
        <fgColor rgb="FFFFF3E6"/>
        <bgColor rgb="FFFCE7D6"/>
      </patternFill>
    </fill>
    <fill>
      <patternFill patternType="solid">
        <fgColor rgb="FFFCE7D6"/>
        <bgColor rgb="FFFFF3E6"/>
      </patternFill>
    </fill>
  </fills>
  <borders count="4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20">
      <alignment horizontal="center" vertical="center" wrapText="1"/>
    </xf>
    <xf numFmtId="0" fontId="5" fillId="2" borderId="2" applyAlignment="1" pivotButton="0" quotePrefix="0" xfId="20">
      <alignment horizontal="center" vertical="center" wrapText="1"/>
    </xf>
    <xf numFmtId="0" fontId="5" fillId="2" borderId="3" applyAlignment="1" pivotButton="0" quotePrefix="0" xfId="20">
      <alignment horizontal="center" vertical="center" wrapText="1"/>
    </xf>
    <xf numFmtId="0" fontId="6" fillId="0" borderId="0" applyAlignment="1" pivotButton="0" quotePrefix="0" xfId="20">
      <alignment horizontal="center" vertical="center" wrapText="1"/>
    </xf>
    <xf numFmtId="164" fontId="6" fillId="0" borderId="0" applyAlignment="1" pivotButton="0" quotePrefix="0" xfId="20">
      <alignment horizontal="general" vertical="center" wrapText="1"/>
    </xf>
    <xf numFmtId="0" fontId="6" fillId="0" borderId="0" applyAlignment="1" pivotButton="0" quotePrefix="0" xfId="20">
      <alignment horizontal="general" vertical="top" wrapText="1"/>
    </xf>
    <xf numFmtId="0" fontId="6" fillId="3" borderId="0" applyAlignment="1" pivotButton="0" quotePrefix="0" xfId="20">
      <alignment horizontal="general" vertical="top" wrapText="1"/>
    </xf>
    <xf numFmtId="165" fontId="6" fillId="0" borderId="0" applyAlignment="1" pivotButton="0" quotePrefix="0" xfId="20">
      <alignment horizontal="right" vertical="center" wrapText="1"/>
    </xf>
    <xf numFmtId="0" fontId="6" fillId="4" borderId="0" applyAlignment="1" pivotButton="0" quotePrefix="0" xfId="20">
      <alignment horizontal="general" vertical="top" wrapText="1"/>
    </xf>
    <xf numFmtId="0" fontId="6" fillId="5" borderId="0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20">
      <alignment horizontal="center" vertical="center" wrapText="1"/>
    </xf>
    <xf numFmtId="0" fontId="5" fillId="2" borderId="2" applyAlignment="1" pivotButton="0" quotePrefix="0" xfId="20">
      <alignment horizontal="center" vertical="center" wrapText="1"/>
    </xf>
    <xf numFmtId="0" fontId="5" fillId="2" borderId="3" applyAlignment="1" pivotButton="0" quotePrefix="0" xfId="20">
      <alignment horizontal="center" vertical="center" wrapText="1"/>
    </xf>
    <xf numFmtId="0" fontId="6" fillId="0" borderId="0" applyAlignment="1" pivotButton="0" quotePrefix="0" xfId="20">
      <alignment horizontal="center" vertical="center" wrapText="1"/>
    </xf>
    <xf numFmtId="164" fontId="6" fillId="0" borderId="0" applyAlignment="1" pivotButton="0" quotePrefix="0" xfId="20">
      <alignment horizontal="general" vertical="center" wrapText="1"/>
    </xf>
    <xf numFmtId="0" fontId="6" fillId="0" borderId="0" applyAlignment="1" pivotButton="0" quotePrefix="0" xfId="20">
      <alignment horizontal="general" vertical="top" wrapText="1"/>
    </xf>
    <xf numFmtId="0" fontId="6" fillId="3" borderId="0" applyAlignment="1" pivotButton="0" quotePrefix="0" xfId="20">
      <alignment horizontal="general" vertical="top" wrapText="1"/>
    </xf>
    <xf numFmtId="165" fontId="6" fillId="0" borderId="0" applyAlignment="1" pivotButton="0" quotePrefix="0" xfId="20">
      <alignment horizontal="right" vertical="center" wrapText="1"/>
    </xf>
    <xf numFmtId="0" fontId="6" fillId="4" borderId="0" applyAlignment="1" pivotButton="0" quotePrefix="0" xfId="20">
      <alignment horizontal="general" vertical="top" wrapText="1"/>
    </xf>
    <xf numFmtId="0" fontId="6" fillId="5" borderId="0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73B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4EA"/>
          <bgColor rgb="FF000000"/>
        </patternFill>
      </fill>
    </dxf>
    <dxf>
      <fill>
        <patternFill patternType="solid">
          <fgColor rgb="FFFCE7D6"/>
          <bgColor rgb="FF000000"/>
        </patternFill>
      </fill>
    </dxf>
    <dxf>
      <fill>
        <patternFill patternType="solid">
          <fgColor rgb="FFFFF3E6"/>
          <bgColor rgb="FF000000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7"/>
      <tableStyleElement type="firstColumnStripe" dxfId="8"/>
      <tableStyleElement type="firstRowStripe" dxfId="9"/>
      <tableStyleElement type="lastColumn" dxfId="10"/>
      <tableStyleElement type="firstColumn" dxfId="11"/>
      <tableStyleElement type="headerRow" dxfId="12"/>
      <tableStyleElement type="totalRow" dxfId="13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3E6"/>
      <rgbColor rgb="FFE7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7D6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173B7A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affScheduleTable" displayName="StaffScheduleTable" ref="A1:I27" headerRowCount="1" totalsRowCount="0" totalsRowShown="0">
  <autoFilter ref="A1:I27"/>
  <tableColumns count="9">
    <tableColumn id="1" name="Session"/>
    <tableColumn id="2" name="Date"/>
    <tableColumn id="3" name="Topic"/>
    <tableColumn id="4" name="Material home"/>
    <tableColumn id="5" name="Delivery / TA handoff"/>
    <tableColumn id="6" name="Instructor hours"/>
    <tableColumn id="7" name="TA hours each"/>
    <tableColumn id="8" name="Graded milestone"/>
    <tableColumn id="9" name="Delivery go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19" customWidth="1" style="11" min="2" max="2"/>
    <col width="39" customWidth="1" style="11" min="3" max="3"/>
    <col width="31" customWidth="1" style="11" min="4" max="5"/>
    <col width="13" customWidth="1" style="11" min="6" max="7"/>
    <col width="35" customWidth="1" style="11" min="8" max="8"/>
    <col width="78" customWidth="1" style="11" min="9" max="9"/>
  </cols>
  <sheetData>
    <row r="1" ht="34" customHeight="1" s="12">
      <c r="A1" s="13" t="inlineStr">
        <is>
          <t>Session</t>
        </is>
      </c>
      <c r="B1" s="14" t="inlineStr">
        <is>
          <t>Date</t>
        </is>
      </c>
      <c r="C1" s="14" t="inlineStr">
        <is>
          <t>Topic</t>
        </is>
      </c>
      <c r="D1" s="14" t="inlineStr">
        <is>
          <t>Material home</t>
        </is>
      </c>
      <c r="E1" s="14" t="inlineStr">
        <is>
          <t>Delivery / TA handoff</t>
        </is>
      </c>
      <c r="F1" s="14" t="inlineStr">
        <is>
          <t>Instructor hours</t>
        </is>
      </c>
      <c r="G1" s="14" t="inlineStr">
        <is>
          <t>TA hours each</t>
        </is>
      </c>
      <c r="H1" s="14" t="inlineStr">
        <is>
          <t>Graded milestone</t>
        </is>
      </c>
      <c r="I1" s="15" t="inlineStr">
        <is>
          <t>Delivery goals</t>
        </is>
      </c>
    </row>
    <row r="2" ht="86" customHeight="1" s="12">
      <c r="A2" s="16" t="inlineStr">
        <is>
          <t>D01</t>
        </is>
      </c>
      <c r="B2" s="17" t="n">
        <v>46285</v>
      </c>
      <c r="C2" s="18" t="inlineStr">
        <is>
          <t>Programme launch and data literacy</t>
        </is>
      </c>
      <c r="D2" s="18">
        <f>HYPERLINK("https://github.com/tatwan/ASAC_Data_Science/blob/main/modules/01-data-foundations/README.md","Data foundations")</f>
        <v/>
      </c>
      <c r="E2" s="19" t="inlineStr">
        <is>
          <t>Green · Tarek throughout</t>
        </is>
      </c>
      <c r="F2" s="20" t="n">
        <v>4</v>
      </c>
      <c r="G2" s="20" t="n">
        <v>4</v>
      </c>
      <c r="H2" s="18" t="inlineStr">
        <is>
          <t>-</t>
        </is>
      </c>
      <c r="I2" s="18" t="inlineStr">
        <is>
          <t>[ ] Explain the programme structure, support route and analyst workflow.
[ ] Use a small retail example to connect a business question, data and a decision.
[ ] Identify grain, a candidate key, dimensions, measures and visible quality problems in small tables.
[ ] Check access to BigQuery Sandbox, GitHub and the Power BI Desktop machine route; record blockers privately.
[ ] Complete the setup checklist and annotated data worksheet.</t>
        </is>
      </c>
    </row>
    <row r="3" ht="86" customHeight="1" s="12">
      <c r="A3" s="16" t="inlineStr">
        <is>
          <t>D02</t>
        </is>
      </c>
      <c r="B3" s="17" t="n">
        <v>46286</v>
      </c>
      <c r="C3" s="18" t="inlineStr">
        <is>
          <t>Where data lives and cloud fundamentals</t>
        </is>
      </c>
      <c r="D3" s="18">
        <f>HYPERLINK("https://github.com/tatwan/ASAC_Data_Science/blob/main/modules/01-data-foundations/README.md","Data foundations")</f>
        <v/>
      </c>
      <c r="E3" s="19" t="inlineStr">
        <is>
          <t>Green · Tarek throughout</t>
        </is>
      </c>
      <c r="F3" s="20" t="n">
        <v>4</v>
      </c>
      <c r="G3" s="20" t="n">
        <v>4</v>
      </c>
      <c r="H3" s="18" t="inlineStr">
        <is>
          <t>-</t>
        </is>
      </c>
      <c r="I3" s="18" t="inlineStr">
        <is>
          <t>[ ] Distinguish operational and analytical workloads using one retail transaction.
[ ] Compare database, warehouse, lake and lakehouse as scenario choices.
[ ] Map a source-to-report flow and label storage, transformation, consumers and ownership.
[ ] Navigate a BigQuery project, dataset, table, schema and preview.
[ ] Run a supplied query and submit the architecture sketch and first-query evidence.</t>
        </is>
      </c>
    </row>
    <row r="4" ht="86" customHeight="1" s="12">
      <c r="A4" s="16" t="inlineStr">
        <is>
          <t>D03</t>
        </is>
      </c>
      <c r="B4" s="17" t="n">
        <v>46292</v>
      </c>
      <c r="C4" s="18" t="inlineStr">
        <is>
          <t>SQL foundations and the relational model</t>
        </is>
      </c>
      <c r="D4" s="18">
        <f>HYPERLINK("https://github.com/tatwan/ASAC_Data_Science/blob/main/modules/02-sql-and-github/README.md","SQL and GitHub")</f>
        <v/>
      </c>
      <c r="E4" s="19" t="inlineStr">
        <is>
          <t>Green · Tarek throughout (decided 27 Sep)</t>
        </is>
      </c>
      <c r="F4" s="20" t="n">
        <v>4</v>
      </c>
      <c r="G4" s="20" t="n">
        <v>4</v>
      </c>
      <c r="H4" s="18" t="inlineStr">
        <is>
          <t>-</t>
        </is>
      </c>
      <c r="I4" s="18" t="inlineStr">
        <is>
          <t>[ ] Read a simple ERD and identify primary keys, foreign keys and data types.
[ ] Build a query with SELECT, aliases, FROM, WHERE and ORDER BY.
[ ] Handle NULL explicitly and use grouped filter conditions safely.
[ ] Answer three business questions and explain one unexpected row.
[ ] Save the D03 query script with result checks.</t>
        </is>
      </c>
    </row>
    <row r="5" ht="86" customHeight="1" s="12">
      <c r="A5" s="16" t="inlineStr">
        <is>
          <t>D04</t>
        </is>
      </c>
      <c r="B5" s="17" t="n">
        <v>46293</v>
      </c>
      <c r="C5" s="18" t="inlineStr">
        <is>
          <t>Aggregation, grain and business measures</t>
        </is>
      </c>
      <c r="D5" s="18">
        <f>HYPERLINK("https://github.com/tatwan/ASAC_Data_Science/blob/main/modules/02-sql-and-github/README.md","SQL and GitHub")</f>
        <v/>
      </c>
      <c r="E5" s="21" t="inlineStr">
        <is>
          <t>Split · TA 7:00 PM</t>
        </is>
      </c>
      <c r="F5" s="20" t="n">
        <v>3</v>
      </c>
      <c r="G5" s="20" t="n">
        <v>4</v>
      </c>
      <c r="H5" s="18" t="inlineStr">
        <is>
          <t>-</t>
        </is>
      </c>
      <c r="I5" s="18" t="inlineStr">
        <is>
          <t>[ ] Define the required grain before calculating a measure.
[ ] Use core aggregate functions and GROUP BY correctly.
[ ] Separate row filters from group filters with WHERE and HAVING.
[ ] Apply CASE, date operations and basic string cleanup to a stated business rule.
[ ] Produce the D04 KPI query set and definition table.</t>
        </is>
      </c>
    </row>
    <row r="6" ht="86" customHeight="1" s="12">
      <c r="A6" s="16" t="inlineStr">
        <is>
          <t>D05</t>
        </is>
      </c>
      <c r="B6" s="17" t="n">
        <v>46294</v>
      </c>
      <c r="C6" s="18" t="inlineStr">
        <is>
          <t>Joins and the fan-out trap</t>
        </is>
      </c>
      <c r="D6" s="18">
        <f>HYPERLINK("https://github.com/tatwan/ASAC_Data_Science/blob/main/modules/02-sql-and-github/README.md","SQL and GitHub")</f>
        <v/>
      </c>
      <c r="E6" s="21" t="inlineStr">
        <is>
          <t>Split · TA 7:00 PM</t>
        </is>
      </c>
      <c r="F6" s="20" t="n">
        <v>3</v>
      </c>
      <c r="G6" s="20" t="n">
        <v>4</v>
      </c>
      <c r="H6" s="18" t="inlineStr">
        <is>
          <t>-</t>
        </is>
      </c>
      <c r="I6" s="18" t="inlineStr">
        <is>
          <t>[ ] Choose join keys and relationship cardinality before writing the join.
[ ] Use INNER JOIN and LEFT JOIN for the required result.
[ ] Audit row counts and totals after each join.
[ ] Detect and correct a fan-out error.
[ ] Submit the joined-query script and before/after audit.</t>
        </is>
      </c>
    </row>
    <row r="7" ht="86" customHeight="1" s="12">
      <c r="A7" s="16" t="inlineStr">
        <is>
          <t>D06</t>
        </is>
      </c>
      <c r="B7" s="17" t="n">
        <v>46299</v>
      </c>
      <c r="C7" s="18" t="inlineStr">
        <is>
          <t>Subqueries, CTEs and reusable SQL</t>
        </is>
      </c>
      <c r="D7" s="18">
        <f>HYPERLINK("https://github.com/tatwan/ASAC_Data_Science/blob/main/modules/02-sql-and-github/README.md","SQL and GitHub")</f>
        <v/>
      </c>
      <c r="E7" s="21" t="inlineStr">
        <is>
          <t>Split · TA 7:00 PM</t>
        </is>
      </c>
      <c r="F7" s="20" t="n">
        <v>3</v>
      </c>
      <c r="G7" s="20" t="n">
        <v>4</v>
      </c>
      <c r="H7" s="18" t="inlineStr">
        <is>
          <t>-</t>
        </is>
      </c>
      <c r="I7" s="18" t="inlineStr">
        <is>
          <t>[ ] Split a complex question into named CTE stages with a clear grain.
[ ] Validate intermediate row counts and the final result.
[ ] Choose between UNION ALL and UNION DISTINCT.
[ ] Read and adapt a small STRUCT/ARRAY/UNNEST example.
[ ] Save the D06 query pipeline and checks.</t>
        </is>
      </c>
    </row>
    <row r="8" ht="86" customHeight="1" s="12">
      <c r="A8" s="16" t="inlineStr">
        <is>
          <t>D07</t>
        </is>
      </c>
      <c r="B8" s="17" t="n">
        <v>46300</v>
      </c>
      <c r="C8" s="18" t="inlineStr">
        <is>
          <t>Window functions for analytical questions</t>
        </is>
      </c>
      <c r="D8" s="18">
        <f>HYPERLINK("https://github.com/tatwan/ASAC_Data_Science/blob/main/modules/02-sql-and-github/README.md","SQL and GitHub")</f>
        <v/>
      </c>
      <c r="E8" s="21" t="inlineStr">
        <is>
          <t>Split · TA 7:00 PM</t>
        </is>
      </c>
      <c r="F8" s="20" t="n">
        <v>3</v>
      </c>
      <c r="G8" s="20" t="n">
        <v>4</v>
      </c>
      <c r="H8" s="18" t="inlineStr">
        <is>
          <t>-</t>
        </is>
      </c>
      <c r="I8" s="18" t="inlineStr">
        <is>
          <t>[ ] Explain how a window differs from GROUP BY.
[ ] Rank values within a group and handle ties deliberately.
[ ] Compare adjacent periods with LAG.
[ ] Calculate and check a cumulative total.
[ ] Submit the D07 window-function script with known-result checks.</t>
        </is>
      </c>
    </row>
    <row r="9" ht="86" customHeight="1" s="12">
      <c r="A9" s="16" t="inlineStr">
        <is>
          <t>D08</t>
        </is>
      </c>
      <c r="B9" s="17" t="n">
        <v>46302</v>
      </c>
      <c r="C9" s="18" t="inlineStr">
        <is>
          <t>SQL practical, cost control and GitHub portfolio</t>
        </is>
      </c>
      <c r="D9" s="18">
        <f>HYPERLINK("https://github.com/tatwan/ASAC_Data_Science/blob/main/modules/02-sql-and-github/README.md","SQL and GitHub")</f>
        <v/>
      </c>
      <c r="E9" s="21" t="inlineStr">
        <is>
          <t>Split · TA 7:00 PM</t>
        </is>
      </c>
      <c r="F9" s="20" t="n">
        <v>3</v>
      </c>
      <c r="G9" s="20" t="n">
        <v>4</v>
      </c>
      <c r="H9" s="18" t="inlineStr">
        <is>
          <t>Practical 1; Assignment 1 briefing</t>
        </is>
      </c>
      <c r="I9" s="18" t="inlineStr">
        <is>
          <t>[ ] Compare query cost using preview, bytes estimates, column selection and partition filters.
[ ] Create a GitHub repository, README, query file and commit through the browser workflow.
[ ] Complete Practical 1 open-book and submit SQL with result checks.
[ ] Add two documented queries and a second commit to the portfolio.
[ ] Leave with a working repository and the Assignment 1 requirements.</t>
        </is>
      </c>
    </row>
    <row r="10" ht="86" customHeight="1" s="12">
      <c r="A10" s="16" t="inlineStr">
        <is>
          <t>D09</t>
        </is>
      </c>
      <c r="B10" s="17" t="n">
        <v>46306</v>
      </c>
      <c r="C10" s="18" t="inlineStr">
        <is>
          <t>Power BI Desktop and data connections</t>
        </is>
      </c>
      <c r="D10" s="18">
        <f>HYPERLINK("https://github.com/tatwan/ASAC_Data_Science/blob/main/modules/03-power-query/README.md","Prepare data with Power Query")</f>
        <v/>
      </c>
      <c r="E10" s="21" t="inlineStr">
        <is>
          <t>Split · TA 7:00 PM</t>
        </is>
      </c>
      <c r="F10" s="20" t="n">
        <v>3</v>
      </c>
      <c r="G10" s="20" t="n">
        <v>4</v>
      </c>
      <c r="H10" s="18" t="inlineStr">
        <is>
          <t>-</t>
        </is>
      </c>
      <c r="I10" s="18" t="inlineStr">
        <is>
          <t>[ ] Identify the roles of Power Query, the semantic model, the report and the Service.
[ ] Connect to the supplied CSV/Excel source and inspect source settings.
[ ] Combine monthly files and change a supplied parameter.
[ ] Explain when Import, DirectQuery or Direct Lake fits a scenario.
[ ] Save the D09 PBIX and source-choice notes.</t>
        </is>
      </c>
    </row>
    <row r="11" ht="86" customHeight="1" s="12">
      <c r="A11" s="16" t="inlineStr">
        <is>
          <t>D10</t>
        </is>
      </c>
      <c r="B11" s="17" t="n">
        <v>46307</v>
      </c>
      <c r="C11" s="18" t="inlineStr">
        <is>
          <t>Profile and clean data with Power Query</t>
        </is>
      </c>
      <c r="D11" s="18">
        <f>HYPERLINK("https://github.com/tatwan/ASAC_Data_Science/blob/main/modules/03-power-query/README.md","Prepare data with Power Query")</f>
        <v/>
      </c>
      <c r="E11" s="21" t="inlineStr">
        <is>
          <t>Split · TA 7:00 PM</t>
        </is>
      </c>
      <c r="F11" s="20" t="n">
        <v>3</v>
      </c>
      <c r="G11" s="20" t="n">
        <v>4</v>
      </c>
      <c r="H11" s="18" t="inlineStr">
        <is>
          <t>Assignment 1 due before 4:00 PM</t>
        </is>
      </c>
      <c r="I11" s="18" t="inlineStr">
        <is>
          <t>[ ] Profile column quality, distribution and data types.
[ ] Correct whitespace, casing, null encodings, duplicate keys and type errors through recorded steps.
[ ] Audit row counts and totals after cleaning.
[ ] Document one ambiguous value and the chosen rule.
[ ] Submit the cleaned PBIX and short quality report; collect Assignment 1 before class.</t>
        </is>
      </c>
    </row>
    <row r="12" ht="86" customHeight="1" s="12">
      <c r="A12" s="16" t="inlineStr">
        <is>
          <t>D11</t>
        </is>
      </c>
      <c r="B12" s="17" t="n">
        <v>46313</v>
      </c>
      <c r="C12" s="18" t="inlineStr">
        <is>
          <t>Reshape and transform data</t>
        </is>
      </c>
      <c r="D12" s="18">
        <f>HYPERLINK("https://github.com/tatwan/ASAC_Data_Science/blob/main/modules/03-power-query/README.md","Prepare data with Power Query")</f>
        <v/>
      </c>
      <c r="E12" s="21" t="inlineStr">
        <is>
          <t>Split · TA 7:00 PM</t>
        </is>
      </c>
      <c r="F12" s="20" t="n">
        <v>3</v>
      </c>
      <c r="G12" s="20" t="n">
        <v>4</v>
      </c>
      <c r="H12" s="18" t="inlineStr">
        <is>
          <t>Assignment 2 specification in weekly set</t>
        </is>
      </c>
      <c r="I12" s="18" t="inlineStr">
        <is>
          <t>[ ] Create and transform columns at a stated grain.
[ ] Split, merge and type text/date fields correctly.
[ ] Unpivot a wide file and confirm that totals remain unchanged.
[ ] Expand the supplied nested record/list example.
[ ] Save shaped queries for D12 and issue the Assignment 2 specification.</t>
        </is>
      </c>
    </row>
    <row r="13" ht="86" customHeight="1" s="12">
      <c r="A13" s="16" t="inlineStr">
        <is>
          <t>D12</t>
        </is>
      </c>
      <c r="B13" s="17" t="n">
        <v>46314</v>
      </c>
      <c r="C13" s="18" t="inlineStr">
        <is>
          <t>Combine queries and build model tables</t>
        </is>
      </c>
      <c r="D13" s="18">
        <f>HYPERLINK("https://github.com/tatwan/ASAC_Data_Science/blob/main/modules/03-power-query/README.md","Prepare data with Power Query")</f>
        <v/>
      </c>
      <c r="E13" s="21" t="inlineStr">
        <is>
          <t>Split · TA 7:00 PM</t>
        </is>
      </c>
      <c r="F13" s="20" t="n">
        <v>3</v>
      </c>
      <c r="G13" s="20" t="n">
        <v>4</v>
      </c>
      <c r="H13" s="18" t="inlineStr">
        <is>
          <t>Assignment 2 worked briefing</t>
        </is>
      </c>
      <c r="I13" s="18" t="inlineStr">
        <is>
          <t>[ ] Choose merge or append for the required result.
[ ] Use reference and duplicate queries deliberately.
[ ] Build fact and dimension inputs at the required grain.
[ ] Check unique keys, unmatched rows, row counts and load settings.
[ ] Leave with fact and dimension queries ready for relationships.</t>
        </is>
      </c>
    </row>
    <row r="14" ht="86" customHeight="1" s="12">
      <c r="A14" s="16" t="inlineStr">
        <is>
          <t>D13</t>
        </is>
      </c>
      <c r="B14" s="17" t="n">
        <v>46316</v>
      </c>
      <c r="C14" s="18" t="inlineStr">
        <is>
          <t>Star schema and model relationships</t>
        </is>
      </c>
      <c r="D14" s="18">
        <f>HYPERLINK("https://github.com/tatwan/ASAC_Data_Science/blob/main/modules/04-data-modeling-and-dax/README.md","Data modeling and DAX")</f>
        <v/>
      </c>
      <c r="E14" s="21" t="inlineStr">
        <is>
          <t>Split · TA 7:00 PM</t>
        </is>
      </c>
      <c r="F14" s="20" t="n">
        <v>3</v>
      </c>
      <c r="G14" s="20" t="n">
        <v>4</v>
      </c>
      <c r="H14" s="18" t="inlineStr">
        <is>
          <t>Assignment 2 lab; due before D14</t>
        </is>
      </c>
      <c r="I14" s="18" t="inlineStr">
        <is>
          <t>[ ] Build a star schema with one-to-many, single-direction relationships.
[ ] Explain how an ambiguous relationship produces a wrong result.
[ ] Create and mark the course date table.
[ ] Set formats, sort-by columns and hidden keys.
[ ] Complete the Assignment 2 model and diagram for submission before D14.</t>
        </is>
      </c>
    </row>
    <row r="15" ht="86" customHeight="1" s="12">
      <c r="A15" s="16" t="inlineStr">
        <is>
          <t>D14</t>
        </is>
      </c>
      <c r="B15" s="17" t="n">
        <v>46320</v>
      </c>
      <c r="C15" s="18" t="inlineStr">
        <is>
          <t>DAX fundamentals and filter context</t>
        </is>
      </c>
      <c r="D15" s="18">
        <f>HYPERLINK("https://github.com/tatwan/ASAC_Data_Science/blob/main/modules/04-data-modeling-and-dax/README.md","Data modeling and DAX")</f>
        <v/>
      </c>
      <c r="E15" s="21" t="inlineStr">
        <is>
          <t>Split · TA 7:00 PM</t>
        </is>
      </c>
      <c r="F15" s="20" t="n">
        <v>3</v>
      </c>
      <c r="G15" s="20" t="n">
        <v>4</v>
      </c>
      <c r="H15" s="18" t="inlineStr">
        <is>
          <t>Assignment 2 due; Assignment 3 overview</t>
        </is>
      </c>
      <c r="I15" s="18" t="inlineStr">
        <is>
          <t>[ ] Distinguish measures from calculated columns and row context from filter context.
[ ] Build and verify base measures for revenue, quantity and distinct customers.
[ ] Use CALCULATE and a percent-of-total pattern.
[ ] Use SUMX for line-level multiplication.
[ ] Save the measure-library PBIX and issue the Assignment 3 overview.</t>
        </is>
      </c>
    </row>
    <row r="16" ht="86" customHeight="1" s="12">
      <c r="A16" s="16" t="inlineStr">
        <is>
          <t>D15</t>
        </is>
      </c>
      <c r="B16" s="17" t="n">
        <v>46321</v>
      </c>
      <c r="C16" s="18" t="inlineStr">
        <is>
          <t>Time intelligence and semi-additive measures</t>
        </is>
      </c>
      <c r="D16" s="18">
        <f>HYPERLINK("https://github.com/tatwan/ASAC_Data_Science/blob/main/modules/04-data-modeling-and-dax/README.md","Data modeling and DAX")</f>
        <v/>
      </c>
      <c r="E16" s="21" t="inlineStr">
        <is>
          <t>Split · TA 7:00 PM</t>
        </is>
      </c>
      <c r="F16" s="20" t="n">
        <v>3</v>
      </c>
      <c r="G16" s="20" t="n">
        <v>4</v>
      </c>
      <c r="H16" s="18" t="inlineStr">
        <is>
          <t>Assignment 3 worked specification</t>
        </is>
      </c>
      <c r="I16" s="18" t="inlineStr">
        <is>
          <t>[ ] Confirm the date-table requirements for the course pattern.
[ ] Build and check YTD, prior-year and year-over-year measures.
[ ] Compare complete and incomplete periods safely.
[ ] Build a closing-balance measure that is not summed through time.
[ ] Save the time-intelligence measures and complete the Assignment 3 worked briefing.</t>
        </is>
      </c>
    </row>
    <row r="17" ht="86" customHeight="1" s="12">
      <c r="A17" s="16" t="inlineStr">
        <is>
          <t>D16</t>
        </is>
      </c>
      <c r="B17" s="17" t="n">
        <v>46324</v>
      </c>
      <c r="C17" s="18" t="inlineStr">
        <is>
          <t>Model performance and DAX practical</t>
        </is>
      </c>
      <c r="D17" s="18">
        <f>HYPERLINK("https://github.com/tatwan/ASAC_Data_Science/blob/main/modules/04-data-modeling-and-dax/README.md","Data modeling and DAX")</f>
        <v/>
      </c>
      <c r="E17" s="21" t="inlineStr">
        <is>
          <t>Split · TA 7:00 PM</t>
        </is>
      </c>
      <c r="F17" s="20" t="n">
        <v>3</v>
      </c>
      <c r="G17" s="20" t="n">
        <v>4</v>
      </c>
      <c r="H17" s="18" t="inlineStr">
        <is>
          <t>Practical 2; Assignment 3 due before D17</t>
        </is>
      </c>
      <c r="I17" s="18" t="inlineStr">
        <is>
          <t>[ ] Identify unnecessary cardinality, columns, rows or granularity.
[ ] Record a baseline in Performance Analyzer and compare one controlled change.
[ ] Complete Practical 2 open-book using the supplied starter.
[ ] Begin the Assignment 3 optimisation evidence and explain the trade-off.
[ ] Submit the practical; Assignment 3 remains due before D17.</t>
        </is>
      </c>
    </row>
    <row r="18" ht="86" customHeight="1" s="12">
      <c r="A18" s="16" t="inlineStr">
        <is>
          <t>D17</t>
        </is>
      </c>
      <c r="B18" s="17" t="n">
        <v>46327</v>
      </c>
      <c r="C18" s="18" t="inlineStr">
        <is>
          <t>Report design and visual selection</t>
        </is>
      </c>
      <c r="D18" s="18">
        <f>HYPERLINK("https://github.com/tatwan/ASAC_Data_Science/blob/main/modules/05-visualization-and-storytelling/README.md","Visualization and storytelling")</f>
        <v/>
      </c>
      <c r="E18" s="21" t="inlineStr">
        <is>
          <t>Split · TA 7:00 PM</t>
        </is>
      </c>
      <c r="F18" s="20" t="n">
        <v>3</v>
      </c>
      <c r="G18" s="20" t="n">
        <v>4</v>
      </c>
      <c r="H18" s="18" t="inlineStr">
        <is>
          <t>Assignment 3 due; Assignment 4 issued</t>
        </is>
      </c>
      <c r="I18" s="18" t="inlineStr">
        <is>
          <t>[ ] Match comparison, trend, distribution and relationship questions to suitable visuals.
[ ] Identify misleading axes and unnecessary decoration.
[ ] Build an executive overview with readable KPIs, comparison and trend.
[ ] Apply slicers, a consistent theme and purposeful conditional formatting.
[ ] Save the overview page and Assignment 4 plan; issue Assignment 4.</t>
        </is>
      </c>
    </row>
    <row r="19" ht="86" customHeight="1" s="12">
      <c r="A19" s="16" t="inlineStr">
        <is>
          <t>D18</t>
        </is>
      </c>
      <c r="B19" s="17" t="n">
        <v>46328</v>
      </c>
      <c r="C19" s="18" t="inlineStr">
        <is>
          <t>Interactivity, usability and accessibility</t>
        </is>
      </c>
      <c r="D19" s="18">
        <f>HYPERLINK("https://github.com/tatwan/ASAC_Data_Science/blob/main/modules/05-visualization-and-storytelling/README.md","Visualization and storytelling")</f>
        <v/>
      </c>
      <c r="E19" s="21" t="inlineStr">
        <is>
          <t>Split · TA 7:00 PM</t>
        </is>
      </c>
      <c r="F19" s="20" t="n">
        <v>3</v>
      </c>
      <c r="G19" s="20" t="n">
        <v>4</v>
      </c>
      <c r="H19" s="18" t="inlineStr">
        <is>
          <t>-</t>
        </is>
      </c>
      <c r="I19" s="18" t="inlineStr">
        <is>
          <t>[ ] Build a predictable navigation path with drillthrough and a back button.
[ ] Add a custom tooltip and control visual interactions.
[ ] Check slicer behaviour, sorting, layering and selection.
[ ] Improve alt text, tab order and mobile layout.
[ ] Save the detail/trend pages and usability checklist.</t>
        </is>
      </c>
    </row>
    <row r="20" ht="86" customHeight="1" s="12">
      <c r="A20" s="16" t="inlineStr">
        <is>
          <t>D19</t>
        </is>
      </c>
      <c r="B20" s="17" t="n">
        <v>46329</v>
      </c>
      <c r="C20" s="18" t="inlineStr">
        <is>
          <t>Explore patterns and analyse data</t>
        </is>
      </c>
      <c r="D20" s="18">
        <f>HYPERLINK("https://github.com/tatwan/ASAC_Data_Science/blob/main/modules/05-visualization-and-storytelling/README.md","Visualization and storytelling")</f>
        <v/>
      </c>
      <c r="E20" s="21" t="inlineStr">
        <is>
          <t>Split · TA 7:00 PM</t>
        </is>
      </c>
      <c r="F20" s="20" t="n">
        <v>3</v>
      </c>
      <c r="G20" s="20" t="n">
        <v>4</v>
      </c>
      <c r="H20" s="18" t="inlineStr">
        <is>
          <t>-</t>
        </is>
      </c>
      <c r="I20" s="18" t="inlineStr">
        <is>
          <t>[ ] Examine distributions, groups, trends, relationships and outliers before drawing a conclusion.
[ ] Build one suitable analysis visual from the supplied model.
[ ] Write a supported finding and name its limitation.
[ ] Compare the finding with a second analytical view.
[ ] Leave with a four-page report draft ready for peer review.</t>
        </is>
      </c>
    </row>
    <row r="21" ht="86" customHeight="1" s="12">
      <c r="A21" s="16" t="inlineStr">
        <is>
          <t>D20</t>
        </is>
      </c>
      <c r="B21" s="17" t="n">
        <v>46330</v>
      </c>
      <c r="C21" s="18" t="inlineStr">
        <is>
          <t>Data storytelling and peer review</t>
        </is>
      </c>
      <c r="D21" s="18">
        <f>HYPERLINK("https://github.com/tatwan/ASAC_Data_Science/blob/main/modules/05-visualization-and-storytelling/README.md","Visualization and storytelling")</f>
        <v/>
      </c>
      <c r="E21" s="21" t="inlineStr">
        <is>
          <t>Split · TA 7:00 PM</t>
        </is>
      </c>
      <c r="F21" s="20" t="n">
        <v>3</v>
      </c>
      <c r="G21" s="20" t="n">
        <v>4</v>
      </c>
      <c r="H21" s="18" t="inlineStr">
        <is>
          <t>Two peer reviews in class</t>
        </is>
      </c>
      <c r="I21" s="18" t="inlineStr">
        <is>
          <t>[ ] Write a specific headline, evidence statement, recommendation and limitation for the intended audience.
[ ] Repair unclear charts and unsupported claims in the clinic.
[ ] Rehearse a three-minute report walkthrough.
[ ] Submit two assigned peer reviews.
[ ] Record the highest-value revision and update the story/report action list.</t>
        </is>
      </c>
    </row>
    <row r="22" ht="86" customHeight="1" s="12">
      <c r="A22" s="16" t="inlineStr">
        <is>
          <t>D21</t>
        </is>
      </c>
      <c r="B22" s="17" t="n">
        <v>46331</v>
      </c>
      <c r="C22" s="18" t="inlineStr">
        <is>
          <t>Publish, manage and secure Power BI</t>
        </is>
      </c>
      <c r="D22" s="18">
        <f>HYPERLINK("https://github.com/tatwan/ASAC_Data_Science/blob/main/modules/06-power-bi-service/README.md","Manage and secure Power BI")</f>
        <v/>
      </c>
      <c r="E22" s="21" t="inlineStr">
        <is>
          <t>Split · TA 7:00 PM</t>
        </is>
      </c>
      <c r="F22" s="20" t="n">
        <v>3</v>
      </c>
      <c r="G22" s="20" t="n">
        <v>4</v>
      </c>
      <c r="H22" s="18" t="inlineStr">
        <is>
          <t>Assignment 4 due by 8:00 PM</t>
        </is>
      </c>
      <c r="I22" s="18" t="inlineStr">
        <is>
          <t>[ ] Distinguish workspace roles, item access, sharing and apps.
[ ] Trace who can view or edit the report through the available access route.
[ ] Create and test a Desktop RLS role.
[ ] Document the refresh, gateway and access plan.
[ ] Submit Assignment 4 by 8:00 PM using the Service or equivalent Desktop evidence route.</t>
        </is>
      </c>
    </row>
    <row r="23" ht="86" customHeight="1" s="12">
      <c r="A23" s="16" t="inlineStr">
        <is>
          <t>D22</t>
        </is>
      </c>
      <c r="B23" s="17" t="n">
        <v>46334</v>
      </c>
      <c r="C23" s="18" t="inlineStr">
        <is>
          <t>Machine-learning foundations and regression</t>
        </is>
      </c>
      <c r="D23" s="18">
        <f>HYPERLINK("https://github.com/tatwan/ASAC_Data_Science/blob/main/modules/07-machine-learning-and-ai/README.md","Machine learning and AI literacy")</f>
        <v/>
      </c>
      <c r="E23" s="21" t="inlineStr">
        <is>
          <t>Split · TA 7:00 PM</t>
        </is>
      </c>
      <c r="F23" s="20" t="n">
        <v>3</v>
      </c>
      <c r="G23" s="20" t="n">
        <v>4</v>
      </c>
      <c r="H23" s="18" t="inlineStr">
        <is>
          <t>-</t>
        </is>
      </c>
      <c r="I23" s="18" t="inlineStr">
        <is>
          <t>[ ] Identify features, label, training data and evaluation data.
[ ] Explain overfitting, leakage and when a rule is enough.
[ ] Run or inspect the supplied LINEAR_REG model.
[ ] Compare MAE/RMSE with a baseline and explain one feature or split choice.
[ ] Complete the in-class model evaluation notes.</t>
        </is>
      </c>
    </row>
    <row r="24" ht="86" customHeight="1" s="12">
      <c r="A24" s="16" t="inlineStr">
        <is>
          <t>D23</t>
        </is>
      </c>
      <c r="B24" s="17" t="n">
        <v>46335</v>
      </c>
      <c r="C24" s="18" t="inlineStr">
        <is>
          <t>Classification, model interpretation and Python literacy</t>
        </is>
      </c>
      <c r="D24" s="18">
        <f>HYPERLINK("https://github.com/tatwan/ASAC_Data_Science/blob/main/modules/07-machine-learning-and-ai/README.md","Machine learning and AI literacy")</f>
        <v/>
      </c>
      <c r="E24" s="21" t="inlineStr">
        <is>
          <t>Split · TA 7:00 PM</t>
        </is>
      </c>
      <c r="F24" s="20" t="n">
        <v>3</v>
      </c>
      <c r="G24" s="20" t="n">
        <v>4</v>
      </c>
      <c r="H24" s="18" t="inlineStr">
        <is>
          <t>-</t>
        </is>
      </c>
      <c r="I24" s="18" t="inlineStr">
        <is>
          <t>[ ] Interpret accuracy, precision, recall and a confusion matrix for an imbalanced problem.
[ ] Compare two classification thresholds and explain the trade-off.
[ ] Recognise the prepared clustering and forecasting outputs.
[ ] Read the supplied Python workflow from CSV through evaluation.
[ ] Add predictions to the report and write a business interpretation.</t>
        </is>
      </c>
    </row>
    <row r="25" ht="86" customHeight="1" s="12">
      <c r="A25" s="16" t="inlineStr">
        <is>
          <t>D24</t>
        </is>
      </c>
      <c r="B25" s="17" t="n">
        <v>46336</v>
      </c>
      <c r="C25" s="18" t="inlineStr">
        <is>
          <t>Generative AI and responsible analytics work</t>
        </is>
      </c>
      <c r="D25" s="18">
        <f>HYPERLINK("https://github.com/tatwan/ASAC_Data_Science/blob/main/modules/07-machine-learning-and-ai/README.md","Machine learning and AI literacy")</f>
        <v/>
      </c>
      <c r="E25" s="21" t="inlineStr">
        <is>
          <t>Split · TA 7:00 PM</t>
        </is>
      </c>
      <c r="F25" s="20" t="n">
        <v>3</v>
      </c>
      <c r="G25" s="20" t="n">
        <v>4</v>
      </c>
      <c r="H25" s="18" t="inlineStr">
        <is>
          <t>AI charter in class</t>
        </is>
      </c>
      <c r="I25" s="18" t="inlineStr">
        <is>
          <t>[ ] Explain context, retrieval, tool use and the difference between plausible output and verified fact.
[ ] Write an analytics prompt with schema, dialect, grain, constraints and expected output.
[ ] Find and explain the planted error in generated SQL, DAX or M.
[ ] State privacy, verification, disclosure and human-control rules.
[ ] Submit the one-page AI usage charter in class.</t>
        </is>
      </c>
    </row>
    <row r="26" ht="86" customHeight="1" s="12">
      <c r="A26" s="16" t="inlineStr">
        <is>
          <t>D25</t>
        </is>
      </c>
      <c r="B26" s="17" t="n">
        <v>46337</v>
      </c>
      <c r="C26" s="18" t="inlineStr">
        <is>
          <t>PL-300 review and weak-area clinic</t>
        </is>
      </c>
      <c r="D26" s="18">
        <f>HYPERLINK("https://github.com/tatwan/ASAC_Data_Science/blob/main/modules/08-pl300-and-career-readiness/README.md","PL-300 and career readiness")</f>
        <v/>
      </c>
      <c r="E26" s="22" t="inlineStr">
        <is>
          <t>Orange · TA ONLY, 4:00–8:00</t>
        </is>
      </c>
      <c r="F26" s="20" t="n">
        <v>0</v>
      </c>
      <c r="G26" s="20" t="n">
        <v>4</v>
      </c>
      <c r="H26" s="18" t="inlineStr">
        <is>
          <t>-</t>
        </is>
      </c>
      <c r="I26" s="18" t="inlineStr">
        <is>
          <t>[ ] Review selected questions across all four PL-300 domains and explain the distractors.
[ ] Work through one case study using its requirements, exhibits and constraints.
[ ] Complete one task from the trainee’s weakest domain and self-check the result.
[ ] Record a personal gap map and next action.
[ ] Confirm the D26 mock logistics and provider rules.</t>
        </is>
      </c>
    </row>
    <row r="27" ht="86" customHeight="1" s="12">
      <c r="A27" s="16" t="inlineStr">
        <is>
          <t>D26</t>
        </is>
      </c>
      <c r="B27" s="17" t="n">
        <v>46338</v>
      </c>
      <c r="C27" s="18" t="inlineStr">
        <is>
          <t>Third-party mock and placement handoff</t>
        </is>
      </c>
      <c r="D27" s="18">
        <f>HYPERLINK("https://github.com/tatwan/ASAC_Data_Science/blob/main/modules/08-pl300-and-career-readiness/README.md","PL-300 and career readiness")</f>
        <v/>
      </c>
      <c r="E27" s="22" t="inlineStr">
        <is>
          <t>Orange · TA ONLY, 4:00–8:00</t>
        </is>
      </c>
      <c r="F27" s="20" t="n">
        <v>0</v>
      </c>
      <c r="G27" s="20" t="n">
        <v>4</v>
      </c>
      <c r="H27" s="18" t="inlineStr">
        <is>
          <t>External mock - voucher gate, separate from course grade</t>
        </is>
      </c>
      <c r="I27" s="18" t="inlineStr">
        <is>
          <t>[ ] Administer the full third-party mock without shortening or interrupting the provider’s required window.
[ ] Record technical failures through the agreed process.
[ ] Use available domain results to complete the personal gap map.
[ ] Explain the confirmed voucher, remediation and exam-booking routes without promising an unapproved retake.
[ ] Complete the portfolio and placement handoff with a named next contact and date.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2026-09-27T10:58:27Z</dcterms:created>
  <dcterms:modified xmlns:dcterms="http://purl.org/dc/terms/" xmlns:xsi="http://www.w3.org/2001/XMLSchema-instance" xsi:type="dcterms:W3CDTF">2026-09-27T10:58:27Z</dcterms:modified>
  <cp:revision>0</cp:revision>
</cp:coreProperties>
</file>