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tudent Schedule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7">
    <numFmt numFmtId="164" formatCode="&quot;D01 - &quot;ddd\ d\ mmm\ yyyy"/>
    <numFmt numFmtId="165" formatCode="&quot;D02 - &quot;ddd\ d\ mmm\ yyyy"/>
    <numFmt numFmtId="166" formatCode="&quot;D03 - &quot;ddd\ d\ mmm\ yyyy"/>
    <numFmt numFmtId="167" formatCode="&quot;D04 - &quot;ddd\ d\ mmm\ yyyy"/>
    <numFmt numFmtId="168" formatCode="&quot;D05 - &quot;ddd\ d\ mmm\ yyyy"/>
    <numFmt numFmtId="169" formatCode="&quot;D06 - &quot;ddd\ d\ mmm\ yyyy"/>
    <numFmt numFmtId="170" formatCode="&quot;D07 - &quot;ddd\ d\ mmm\ yyyy"/>
    <numFmt numFmtId="171" formatCode="&quot;D08 - &quot;ddd\ d\ mmm\ yyyy"/>
    <numFmt numFmtId="172" formatCode="&quot;D09 - &quot;ddd\ d\ mmm\ yyyy"/>
    <numFmt numFmtId="173" formatCode="&quot;D10 - &quot;ddd\ d\ mmm\ yyyy"/>
    <numFmt numFmtId="174" formatCode="&quot;D11 - &quot;ddd\ d\ mmm\ yyyy"/>
    <numFmt numFmtId="175" formatCode="&quot;D12 - &quot;ddd\ d\ mmm\ yyyy"/>
    <numFmt numFmtId="176" formatCode="&quot;D13 - &quot;ddd\ d\ mmm\ yyyy"/>
    <numFmt numFmtId="177" formatCode="&quot;D14 - &quot;ddd\ d\ mmm\ yyyy"/>
    <numFmt numFmtId="178" formatCode="&quot;D15 - &quot;ddd\ d\ mmm\ yyyy"/>
    <numFmt numFmtId="179" formatCode="&quot;D16 - &quot;ddd\ d\ mmm\ yyyy"/>
    <numFmt numFmtId="180" formatCode="&quot;D17 - &quot;ddd\ d\ mmm\ yyyy"/>
    <numFmt numFmtId="181" formatCode="&quot;D18 - &quot;ddd\ d\ mmm\ yyyy"/>
    <numFmt numFmtId="182" formatCode="&quot;D19 - &quot;ddd\ d\ mmm\ yyyy"/>
    <numFmt numFmtId="183" formatCode="&quot;D20 - &quot;ddd\ d\ mmm\ yyyy"/>
    <numFmt numFmtId="184" formatCode="&quot;D21 - &quot;ddd\ d\ mmm\ yyyy"/>
    <numFmt numFmtId="185" formatCode="&quot;D22 - &quot;ddd\ d\ mmm\ yyyy"/>
    <numFmt numFmtId="186" formatCode="&quot;D23 - &quot;ddd\ d\ mmm\ yyyy"/>
    <numFmt numFmtId="187" formatCode="&quot;D24 - &quot;ddd\ d\ mmm\ yyyy"/>
    <numFmt numFmtId="188" formatCode="&quot;D25 - &quot;ddd\ d\ mmm\ yyyy"/>
    <numFmt numFmtId="189" formatCode="&quot;D26 - &quot;ddd\ d\ mmm\ yyyy"/>
    <numFmt numFmtId="190" formatCode="&quot;Optional - &quot;ddd\ d\ mmm\ yyyy"/>
  </numFmts>
  <fonts count="7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B7A"/>
        <bgColor rgb="FF333399"/>
      </patternFill>
    </fill>
    <fill>
      <patternFill patternType="solid">
        <fgColor rgb="FFE7F4EA"/>
        <bgColor rgb="FFEEF1F5"/>
      </patternFill>
    </fill>
    <fill>
      <patternFill patternType="solid">
        <fgColor rgb="FFF4F7FB"/>
        <bgColor rgb="FFEEF1F5"/>
      </patternFill>
    </fill>
    <fill>
      <patternFill patternType="solid">
        <fgColor rgb="FFEEF1F5"/>
        <bgColor rgb="FFE7F4EA"/>
      </patternFill>
    </fill>
    <fill>
      <patternFill patternType="solid">
        <fgColor rgb="FFFFF4C2"/>
      </patternFill>
    </fill>
    <fill>
      <patternFill patternType="solid">
        <fgColor rgb="FFF4F7FB"/>
      </patternFill>
    </fill>
  </fills>
  <borders count="4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5" fillId="2" borderId="1" applyAlignment="1" pivotButton="0" quotePrefix="0" xfId="20">
      <alignment horizontal="center" vertical="center" wrapText="1"/>
    </xf>
    <xf numFmtId="0" fontId="5" fillId="2" borderId="2" applyAlignment="1" pivotButton="0" quotePrefix="0" xfId="20">
      <alignment horizontal="center" vertical="center" wrapText="1"/>
    </xf>
    <xf numFmtId="0" fontId="5" fillId="2" borderId="3" applyAlignment="1" pivotButton="0" quotePrefix="0" xfId="20">
      <alignment horizontal="center" vertical="center" wrapText="1"/>
    </xf>
    <xf numFmtId="164" fontId="6" fillId="0" borderId="0" applyAlignment="1" pivotButton="0" quotePrefix="0" xfId="20">
      <alignment horizontal="general" vertical="center" wrapText="1"/>
    </xf>
    <xf numFmtId="0" fontId="6" fillId="0" borderId="0" applyAlignment="1" pivotButton="0" quotePrefix="0" xfId="20">
      <alignment horizontal="general" vertical="center" wrapText="1"/>
    </xf>
    <xf numFmtId="0" fontId="6" fillId="3" borderId="0" applyAlignment="1" pivotButton="0" quotePrefix="0" xfId="20">
      <alignment horizontal="center" vertical="center" wrapText="1"/>
    </xf>
    <xf numFmtId="165" fontId="6" fillId="4" borderId="0" applyAlignment="1" pivotButton="0" quotePrefix="0" xfId="20">
      <alignment horizontal="general" vertical="center" wrapText="1"/>
    </xf>
    <xf numFmtId="0" fontId="6" fillId="4" borderId="0" applyAlignment="1" pivotButton="0" quotePrefix="0" xfId="20">
      <alignment horizontal="general" vertical="center" wrapText="1"/>
    </xf>
    <xf numFmtId="166" fontId="6" fillId="0" borderId="0" applyAlignment="1" pivotButton="0" quotePrefix="0" xfId="20">
      <alignment horizontal="general" vertical="center" wrapText="1"/>
    </xf>
    <xf numFmtId="167" fontId="6" fillId="4" borderId="0" applyAlignment="1" pivotButton="0" quotePrefix="0" xfId="20">
      <alignment horizontal="general" vertical="center" wrapText="1"/>
    </xf>
    <xf numFmtId="168" fontId="6" fillId="0" borderId="0" applyAlignment="1" pivotButton="0" quotePrefix="0" xfId="20">
      <alignment horizontal="general" vertical="center" wrapText="1"/>
    </xf>
    <xf numFmtId="169" fontId="6" fillId="4" borderId="0" applyAlignment="1" pivotButton="0" quotePrefix="0" xfId="20">
      <alignment horizontal="general" vertical="center" wrapText="1"/>
    </xf>
    <xf numFmtId="170" fontId="6" fillId="0" borderId="0" applyAlignment="1" pivotButton="0" quotePrefix="0" xfId="20">
      <alignment horizontal="general" vertical="center" wrapText="1"/>
    </xf>
    <xf numFmtId="171" fontId="6" fillId="4" borderId="0" applyAlignment="1" pivotButton="0" quotePrefix="0" xfId="20">
      <alignment horizontal="general" vertical="center" wrapText="1"/>
    </xf>
    <xf numFmtId="172" fontId="6" fillId="0" borderId="0" applyAlignment="1" pivotButton="0" quotePrefix="0" xfId="20">
      <alignment horizontal="general" vertical="center" wrapText="1"/>
    </xf>
    <xf numFmtId="173" fontId="6" fillId="4" borderId="0" applyAlignment="1" pivotButton="0" quotePrefix="0" xfId="20">
      <alignment horizontal="general" vertical="center" wrapText="1"/>
    </xf>
    <xf numFmtId="174" fontId="6" fillId="0" borderId="0" applyAlignment="1" pivotButton="0" quotePrefix="0" xfId="20">
      <alignment horizontal="general" vertical="center" wrapText="1"/>
    </xf>
    <xf numFmtId="175" fontId="6" fillId="4" borderId="0" applyAlignment="1" pivotButton="0" quotePrefix="0" xfId="20">
      <alignment horizontal="general" vertical="center" wrapText="1"/>
    </xf>
    <xf numFmtId="176" fontId="6" fillId="0" borderId="0" applyAlignment="1" pivotButton="0" quotePrefix="0" xfId="20">
      <alignment horizontal="general" vertical="center" wrapText="1"/>
    </xf>
    <xf numFmtId="177" fontId="6" fillId="4" borderId="0" applyAlignment="1" pivotButton="0" quotePrefix="0" xfId="20">
      <alignment horizontal="general" vertical="center" wrapText="1"/>
    </xf>
    <xf numFmtId="178" fontId="6" fillId="0" borderId="0" applyAlignment="1" pivotButton="0" quotePrefix="0" xfId="20">
      <alignment horizontal="general" vertical="center" wrapText="1"/>
    </xf>
    <xf numFmtId="179" fontId="6" fillId="4" borderId="0" applyAlignment="1" pivotButton="0" quotePrefix="0" xfId="20">
      <alignment horizontal="general" vertical="center" wrapText="1"/>
    </xf>
    <xf numFmtId="180" fontId="6" fillId="0" borderId="0" applyAlignment="1" pivotButton="0" quotePrefix="0" xfId="20">
      <alignment horizontal="general" vertical="center" wrapText="1"/>
    </xf>
    <xf numFmtId="181" fontId="6" fillId="4" borderId="0" applyAlignment="1" pivotButton="0" quotePrefix="0" xfId="20">
      <alignment horizontal="general" vertical="center" wrapText="1"/>
    </xf>
    <xf numFmtId="182" fontId="6" fillId="0" borderId="0" applyAlignment="1" pivotButton="0" quotePrefix="0" xfId="20">
      <alignment horizontal="general" vertical="center" wrapText="1"/>
    </xf>
    <xf numFmtId="183" fontId="6" fillId="4" borderId="0" applyAlignment="1" pivotButton="0" quotePrefix="0" xfId="20">
      <alignment horizontal="general" vertical="center" wrapText="1"/>
    </xf>
    <xf numFmtId="184" fontId="6" fillId="0" borderId="0" applyAlignment="1" pivotButton="0" quotePrefix="0" xfId="20">
      <alignment horizontal="general" vertical="center" wrapText="1"/>
    </xf>
    <xf numFmtId="185" fontId="6" fillId="4" borderId="0" applyAlignment="1" pivotButton="0" quotePrefix="0" xfId="20">
      <alignment horizontal="general" vertical="center" wrapText="1"/>
    </xf>
    <xf numFmtId="186" fontId="6" fillId="0" borderId="0" applyAlignment="1" pivotButton="0" quotePrefix="0" xfId="20">
      <alignment horizontal="general" vertical="center" wrapText="1"/>
    </xf>
    <xf numFmtId="187" fontId="6" fillId="4" borderId="0" applyAlignment="1" pivotButton="0" quotePrefix="0" xfId="20">
      <alignment horizontal="general" vertical="center" wrapText="1"/>
    </xf>
    <xf numFmtId="188" fontId="6" fillId="0" borderId="0" applyAlignment="1" pivotButton="0" quotePrefix="0" xfId="20">
      <alignment horizontal="general" vertical="center" wrapText="1"/>
    </xf>
    <xf numFmtId="189" fontId="6" fillId="4" borderId="0" applyAlignment="1" pivotButton="0" quotePrefix="0" xfId="20">
      <alignment horizontal="general" vertical="center" wrapText="1"/>
    </xf>
    <xf numFmtId="0" fontId="6" fillId="5" borderId="0" applyAlignment="1" pivotButton="0" quotePrefix="0" xfId="2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20">
      <alignment horizontal="center" vertical="center" wrapText="1"/>
    </xf>
    <xf numFmtId="0" fontId="5" fillId="2" borderId="2" applyAlignment="1" pivotButton="0" quotePrefix="0" xfId="20">
      <alignment horizontal="center" vertical="center" wrapText="1"/>
    </xf>
    <xf numFmtId="0" fontId="5" fillId="2" borderId="3" applyAlignment="1" pivotButton="0" quotePrefix="0" xfId="20">
      <alignment horizontal="center" vertical="center" wrapText="1"/>
    </xf>
    <xf numFmtId="164" fontId="6" fillId="0" borderId="0" applyAlignment="1" pivotButton="0" quotePrefix="0" xfId="20">
      <alignment horizontal="general" vertical="center" wrapText="1"/>
    </xf>
    <xf numFmtId="0" fontId="6" fillId="0" borderId="0" applyAlignment="1" pivotButton="0" quotePrefix="0" xfId="20">
      <alignment horizontal="general" vertical="center" wrapText="1"/>
    </xf>
    <xf numFmtId="0" fontId="6" fillId="3" borderId="0" applyAlignment="1" pivotButton="0" quotePrefix="0" xfId="20">
      <alignment horizontal="center" vertical="center" wrapText="1"/>
    </xf>
    <xf numFmtId="165" fontId="6" fillId="4" borderId="0" applyAlignment="1" pivotButton="0" quotePrefix="0" xfId="20">
      <alignment horizontal="general" vertical="center" wrapText="1"/>
    </xf>
    <xf numFmtId="0" fontId="6" fillId="4" borderId="0" applyAlignment="1" pivotButton="0" quotePrefix="0" xfId="20">
      <alignment horizontal="general" vertical="center" wrapText="1"/>
    </xf>
    <xf numFmtId="166" fontId="6" fillId="0" borderId="0" applyAlignment="1" pivotButton="0" quotePrefix="0" xfId="20">
      <alignment horizontal="general" vertical="center" wrapText="1"/>
    </xf>
    <xf numFmtId="167" fontId="6" fillId="4" borderId="0" applyAlignment="1" pivotButton="0" quotePrefix="0" xfId="20">
      <alignment horizontal="general" vertical="center" wrapText="1"/>
    </xf>
    <xf numFmtId="168" fontId="6" fillId="0" borderId="0" applyAlignment="1" pivotButton="0" quotePrefix="0" xfId="20">
      <alignment horizontal="general" vertical="center" wrapText="1"/>
    </xf>
    <xf numFmtId="169" fontId="6" fillId="4" borderId="0" applyAlignment="1" pivotButton="0" quotePrefix="0" xfId="20">
      <alignment horizontal="general" vertical="center" wrapText="1"/>
    </xf>
    <xf numFmtId="170" fontId="6" fillId="0" borderId="0" applyAlignment="1" pivotButton="0" quotePrefix="0" xfId="20">
      <alignment horizontal="general" vertical="center" wrapText="1"/>
    </xf>
    <xf numFmtId="171" fontId="6" fillId="4" borderId="0" applyAlignment="1" pivotButton="0" quotePrefix="0" xfId="20">
      <alignment horizontal="general" vertical="center" wrapText="1"/>
    </xf>
    <xf numFmtId="172" fontId="6" fillId="0" borderId="0" applyAlignment="1" pivotButton="0" quotePrefix="0" xfId="20">
      <alignment horizontal="general" vertical="center" wrapText="1"/>
    </xf>
    <xf numFmtId="173" fontId="6" fillId="4" borderId="0" applyAlignment="1" pivotButton="0" quotePrefix="0" xfId="20">
      <alignment horizontal="general" vertical="center" wrapText="1"/>
    </xf>
    <xf numFmtId="174" fontId="6" fillId="0" borderId="0" applyAlignment="1" pivotButton="0" quotePrefix="0" xfId="20">
      <alignment horizontal="general" vertical="center" wrapText="1"/>
    </xf>
    <xf numFmtId="175" fontId="6" fillId="4" borderId="0" applyAlignment="1" pivotButton="0" quotePrefix="0" xfId="20">
      <alignment horizontal="general" vertical="center" wrapText="1"/>
    </xf>
    <xf numFmtId="176" fontId="6" fillId="0" borderId="0" applyAlignment="1" pivotButton="0" quotePrefix="0" xfId="20">
      <alignment horizontal="general" vertical="center" wrapText="1"/>
    </xf>
    <xf numFmtId="177" fontId="6" fillId="4" borderId="0" applyAlignment="1" pivotButton="0" quotePrefix="0" xfId="20">
      <alignment horizontal="general" vertical="center" wrapText="1"/>
    </xf>
    <xf numFmtId="178" fontId="6" fillId="0" borderId="0" applyAlignment="1" pivotButton="0" quotePrefix="0" xfId="20">
      <alignment horizontal="general" vertical="center" wrapText="1"/>
    </xf>
    <xf numFmtId="179" fontId="6" fillId="4" borderId="0" applyAlignment="1" pivotButton="0" quotePrefix="0" xfId="20">
      <alignment horizontal="general" vertical="center" wrapText="1"/>
    </xf>
    <xf numFmtId="180" fontId="6" fillId="0" borderId="0" applyAlignment="1" pivotButton="0" quotePrefix="0" xfId="20">
      <alignment horizontal="general" vertical="center" wrapText="1"/>
    </xf>
    <xf numFmtId="181" fontId="6" fillId="4" borderId="0" applyAlignment="1" pivotButton="0" quotePrefix="0" xfId="20">
      <alignment horizontal="general" vertical="center" wrapText="1"/>
    </xf>
    <xf numFmtId="182" fontId="6" fillId="0" borderId="0" applyAlignment="1" pivotButton="0" quotePrefix="0" xfId="20">
      <alignment horizontal="general" vertical="center" wrapText="1"/>
    </xf>
    <xf numFmtId="183" fontId="6" fillId="4" borderId="0" applyAlignment="1" pivotButton="0" quotePrefix="0" xfId="20">
      <alignment horizontal="general" vertical="center" wrapText="1"/>
    </xf>
    <xf numFmtId="184" fontId="6" fillId="0" borderId="0" applyAlignment="1" pivotButton="0" quotePrefix="0" xfId="20">
      <alignment horizontal="general" vertical="center" wrapText="1"/>
    </xf>
    <xf numFmtId="185" fontId="6" fillId="4" borderId="0" applyAlignment="1" pivotButton="0" quotePrefix="0" xfId="20">
      <alignment horizontal="general" vertical="center" wrapText="1"/>
    </xf>
    <xf numFmtId="186" fontId="6" fillId="0" borderId="0" applyAlignment="1" pivotButton="0" quotePrefix="0" xfId="20">
      <alignment horizontal="general" vertical="center" wrapText="1"/>
    </xf>
    <xf numFmtId="187" fontId="6" fillId="4" borderId="0" applyAlignment="1" pivotButton="0" quotePrefix="0" xfId="20">
      <alignment horizontal="general" vertical="center" wrapText="1"/>
    </xf>
    <xf numFmtId="188" fontId="6" fillId="0" borderId="0" applyAlignment="1" pivotButton="0" quotePrefix="0" xfId="20">
      <alignment horizontal="general" vertical="center" wrapText="1"/>
    </xf>
    <xf numFmtId="189" fontId="6" fillId="4" borderId="0" applyAlignment="1" pivotButton="0" quotePrefix="0" xfId="20">
      <alignment horizontal="general" vertical="center" wrapText="1"/>
    </xf>
    <xf numFmtId="0" fontId="6" fillId="5" borderId="0" applyAlignment="1" pivotButton="0" quotePrefix="0" xfId="20">
      <alignment horizontal="center" vertical="center" wrapText="1"/>
    </xf>
    <xf numFmtId="0" fontId="6" fillId="0" borderId="0" applyAlignment="1" pivotButton="0" quotePrefix="0" xfId="20">
      <alignment horizontal="center" vertical="center" wrapText="1"/>
    </xf>
    <xf numFmtId="165" fontId="6" fillId="7" borderId="0" applyAlignment="1" pivotButton="0" quotePrefix="0" xfId="20">
      <alignment horizontal="general" vertical="center" wrapText="1"/>
    </xf>
    <xf numFmtId="0" fontId="6" fillId="7" borderId="0" applyAlignment="1" pivotButton="0" quotePrefix="0" xfId="20">
      <alignment horizontal="general" vertical="center" wrapText="1"/>
    </xf>
    <xf numFmtId="0" fontId="6" fillId="7" borderId="0" applyAlignment="1" pivotButton="0" quotePrefix="0" xfId="20">
      <alignment horizontal="center" vertical="center" wrapText="1"/>
    </xf>
    <xf numFmtId="167" fontId="6" fillId="7" borderId="0" applyAlignment="1" pivotButton="0" quotePrefix="0" xfId="20">
      <alignment horizontal="general" vertical="center" wrapText="1"/>
    </xf>
    <xf numFmtId="169" fontId="6" fillId="7" borderId="0" applyAlignment="1" pivotButton="0" quotePrefix="0" xfId="20">
      <alignment horizontal="general" vertical="center" wrapText="1"/>
    </xf>
    <xf numFmtId="171" fontId="6" fillId="7" borderId="0" applyAlignment="1" pivotButton="0" quotePrefix="0" xfId="20">
      <alignment horizontal="general" vertical="center" wrapText="1"/>
    </xf>
    <xf numFmtId="190" fontId="6" fillId="6" borderId="0" applyAlignment="1" pivotButton="0" quotePrefix="0" xfId="20">
      <alignment horizontal="general" vertical="center" wrapText="1"/>
    </xf>
    <xf numFmtId="0" fontId="6" fillId="6" borderId="0" applyAlignment="1" pivotButton="0" quotePrefix="0" xfId="20">
      <alignment horizontal="general" vertical="center" wrapText="1"/>
    </xf>
    <xf numFmtId="0" fontId="6" fillId="6" borderId="0" applyAlignment="1" pivotButton="0" quotePrefix="0" xfId="20">
      <alignment horizontal="center" vertical="center" wrapText="1"/>
    </xf>
    <xf numFmtId="173" fontId="6" fillId="7" borderId="0" applyAlignment="1" pivotButton="0" quotePrefix="0" xfId="20">
      <alignment horizontal="general" vertical="center" wrapText="1"/>
    </xf>
    <xf numFmtId="175" fontId="6" fillId="7" borderId="0" applyAlignment="1" pivotButton="0" quotePrefix="0" xfId="20">
      <alignment horizontal="general" vertical="center" wrapText="1"/>
    </xf>
    <xf numFmtId="177" fontId="6" fillId="7" borderId="0" applyAlignment="1" pivotButton="0" quotePrefix="0" xfId="20">
      <alignment horizontal="general" vertical="center" wrapText="1"/>
    </xf>
    <xf numFmtId="179" fontId="6" fillId="7" borderId="0" applyAlignment="1" pivotButton="0" quotePrefix="0" xfId="20">
      <alignment horizontal="general" vertical="center" wrapText="1"/>
    </xf>
    <xf numFmtId="181" fontId="6" fillId="7" borderId="0" applyAlignment="1" pivotButton="0" quotePrefix="0" xfId="20">
      <alignment horizontal="general" vertical="center" wrapText="1"/>
    </xf>
    <xf numFmtId="183" fontId="6" fillId="7" borderId="0" applyAlignment="1" pivotButton="0" quotePrefix="0" xfId="20">
      <alignment horizontal="general" vertical="center" wrapText="1"/>
    </xf>
    <xf numFmtId="185" fontId="6" fillId="7" borderId="0" applyAlignment="1" pivotButton="0" quotePrefix="0" xfId="20">
      <alignment horizontal="general" vertical="center" wrapText="1"/>
    </xf>
    <xf numFmtId="187" fontId="6" fillId="7" borderId="0" applyAlignment="1" pivotButton="0" quotePrefix="0" xfId="20">
      <alignment horizontal="general" vertical="center" wrapText="1"/>
    </xf>
    <xf numFmtId="189" fontId="6" fillId="7" borderId="0" applyAlignment="1" pivotButton="0" quotePrefix="0" xfId="20">
      <alignment horizontal="general" vertical="center" wrapText="1"/>
    </xf>
    <xf numFmtId="190" fontId="6" fillId="6" borderId="0" applyAlignment="1" pivotButton="0" quotePrefix="0" xfId="2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4">
    <dxf>
      <fill>
        <patternFill patternType="solid">
          <fgColor rgb="FF173B7A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F4EA"/>
          <bgColor rgb="FF000000"/>
        </patternFill>
      </fill>
    </dxf>
    <dxf>
      <fill>
        <patternFill patternType="solid">
          <fgColor rgb="FFEEF1F5"/>
          <bgColor rgb="FF000000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7"/>
      <tableStyleElement type="firstColumnStripe" dxfId="8"/>
      <tableStyleElement type="firstRowStripe" dxfId="9"/>
      <tableStyleElement type="lastColumn" dxfId="10"/>
      <tableStyleElement type="firstColumn" dxfId="11"/>
      <tableStyleElement type="headerRow" dxfId="12"/>
      <tableStyleElement type="totalRow" dxfId="13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4F7FB"/>
      <rgbColor rgb="FFE7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173B7A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udentScheduleTable" displayName="StudentScheduleTable" ref="A1:F29" headerRowCount="1" totalsRowCount="0" totalsRowShown="0">
  <autoFilter ref="A1:F27"/>
  <tableColumns count="6">
    <tableColumn id="1" name="Date"/>
    <tableColumn id="2" name="Topic"/>
    <tableColumn id="3" name="Material home"/>
    <tableColumn id="4" name="Lab"/>
    <tableColumn id="5" name="Assignment given"/>
    <tableColumn id="6" name="Assignment d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3" customWidth="1" style="34" min="1" max="1"/>
    <col width="45" customWidth="1" style="34" min="2" max="2"/>
    <col width="34" customWidth="1" style="34" min="3" max="3"/>
    <col width="10" customWidth="1" style="34" min="4" max="4"/>
    <col width="24" customWidth="1" style="34" min="5" max="5"/>
    <col width="29" customWidth="1" style="34" min="6" max="6"/>
  </cols>
  <sheetData>
    <row r="1" ht="30" customHeight="1" s="35">
      <c r="A1" s="36" t="inlineStr">
        <is>
          <t>Date</t>
        </is>
      </c>
      <c r="B1" s="37" t="inlineStr">
        <is>
          <t>Topic</t>
        </is>
      </c>
      <c r="C1" s="37" t="inlineStr">
        <is>
          <t>Material home</t>
        </is>
      </c>
      <c r="D1" s="37" t="inlineStr">
        <is>
          <t>Lab</t>
        </is>
      </c>
      <c r="E1" s="37" t="inlineStr">
        <is>
          <t>Assignment given</t>
        </is>
      </c>
      <c r="F1" s="38" t="inlineStr">
        <is>
          <t>Assignment due</t>
        </is>
      </c>
    </row>
    <row r="2" ht="34" customHeight="1" s="35">
      <c r="A2" s="39" t="n">
        <v>46285</v>
      </c>
      <c r="B2" s="40" t="inlineStr">
        <is>
          <t>Programme launch and data literacy</t>
        </is>
      </c>
      <c r="C2" s="40">
        <f>HYPERLINK("https://github.com/tatwan/ASAC_Data_Science/blob/main/modules/01-data-foundations/README.md","Data foundations")</f>
        <v/>
      </c>
      <c r="D2" s="69" t="inlineStr">
        <is>
          <t>Yes</t>
        </is>
      </c>
      <c r="E2" s="40" t="inlineStr">
        <is>
          <t>-</t>
        </is>
      </c>
      <c r="F2" s="40" t="inlineStr">
        <is>
          <t>-</t>
        </is>
      </c>
    </row>
    <row r="3" ht="34" customHeight="1" s="35">
      <c r="A3" s="70" t="n">
        <v>46286</v>
      </c>
      <c r="B3" s="71" t="inlineStr">
        <is>
          <t>Where data lives and cloud fundamentals</t>
        </is>
      </c>
      <c r="C3" s="71">
        <f>HYPERLINK("https://github.com/tatwan/ASAC_Data_Science/blob/main/modules/01-data-foundations/README.md","Data foundations")</f>
        <v/>
      </c>
      <c r="D3" s="72" t="inlineStr">
        <is>
          <t>Yes</t>
        </is>
      </c>
      <c r="E3" s="71" t="inlineStr">
        <is>
          <t>-</t>
        </is>
      </c>
      <c r="F3" s="71" t="inlineStr">
        <is>
          <t>-</t>
        </is>
      </c>
    </row>
    <row r="4" ht="34" customHeight="1" s="35">
      <c r="A4" s="44" t="n">
        <v>46292</v>
      </c>
      <c r="B4" s="40" t="inlineStr">
        <is>
          <t>SQL foundations and the relational model</t>
        </is>
      </c>
      <c r="C4" s="40">
        <f>HYPERLINK("https://github.com/tatwan/ASAC_Data_Science/blob/main/modules/02-sql/README.md","SQL")</f>
        <v/>
      </c>
      <c r="D4" s="69" t="inlineStr">
        <is>
          <t>Yes</t>
        </is>
      </c>
      <c r="E4" s="40" t="inlineStr">
        <is>
          <t>-</t>
        </is>
      </c>
      <c r="F4" s="40" t="inlineStr">
        <is>
          <t>-</t>
        </is>
      </c>
    </row>
    <row r="5" ht="34" customHeight="1" s="35">
      <c r="A5" s="73" t="n">
        <v>46293</v>
      </c>
      <c r="B5" s="71" t="inlineStr">
        <is>
          <t>SQL foundations continued; aggregation begins</t>
        </is>
      </c>
      <c r="C5" s="71">
        <f>HYPERLINK("https://github.com/tatwan/ASAC_Data_Science/blob/main/modules/02-sql/README.md","SQL")</f>
        <v/>
      </c>
      <c r="D5" s="72" t="inlineStr">
        <is>
          <t>Yes</t>
        </is>
      </c>
      <c r="E5" s="71" t="inlineStr">
        <is>
          <t>-</t>
        </is>
      </c>
      <c r="F5" s="71" t="inlineStr">
        <is>
          <t>-</t>
        </is>
      </c>
    </row>
    <row r="6" ht="34" customHeight="1" s="35">
      <c r="A6" s="46" t="n">
        <v>46294</v>
      </c>
      <c r="B6" s="40" t="inlineStr">
        <is>
          <t>Aggregation, functions and CASE</t>
        </is>
      </c>
      <c r="C6" s="40">
        <f>HYPERLINK("https://github.com/tatwan/ASAC_Data_Science/blob/main/modules/02-sql/README.md","SQL")</f>
        <v/>
      </c>
      <c r="D6" s="69" t="inlineStr">
        <is>
          <t>Yes</t>
        </is>
      </c>
      <c r="E6" s="40" t="inlineStr">
        <is>
          <t>-</t>
        </is>
      </c>
      <c r="F6" s="40" t="inlineStr">
        <is>
          <t>-</t>
        </is>
      </c>
    </row>
    <row r="7" ht="34" customHeight="1" s="35">
      <c r="A7" s="74" t="n">
        <v>46299</v>
      </c>
      <c r="B7" s="71" t="inlineStr">
        <is>
          <t>Joins: combining tables</t>
        </is>
      </c>
      <c r="C7" s="71">
        <f>HYPERLINK("https://github.com/tatwan/ASAC_Data_Science/blob/main/modules/02-sql/README.md","SQL")</f>
        <v/>
      </c>
      <c r="D7" s="72" t="inlineStr">
        <is>
          <t>After class</t>
        </is>
      </c>
      <c r="E7" s="71" t="inlineStr">
        <is>
          <t>-</t>
        </is>
      </c>
      <c r="F7" s="71" t="inlineStr">
        <is>
          <t>-</t>
        </is>
      </c>
    </row>
    <row r="8" ht="34" customHeight="1" s="35">
      <c r="A8" s="48" t="n">
        <v>46300</v>
      </c>
      <c r="B8" s="40" t="inlineStr">
        <is>
          <t>Joins continued: joins with GROUP BY and CASE</t>
        </is>
      </c>
      <c r="C8" s="40">
        <f>HYPERLINK("https://github.com/tatwan/ASAC_Data_Science/blob/main/modules/02-sql/README.md","SQL")</f>
        <v/>
      </c>
      <c r="D8" s="69" t="inlineStr">
        <is>
          <t>After class</t>
        </is>
      </c>
      <c r="E8" s="40" t="inlineStr">
        <is>
          <t>-</t>
        </is>
      </c>
      <c r="F8" s="40" t="inlineStr">
        <is>
          <t>-</t>
        </is>
      </c>
    </row>
    <row r="9" ht="34" customHeight="1" s="35">
      <c r="A9" s="75" t="n">
        <v>46302</v>
      </c>
      <c r="B9" s="71" t="inlineStr">
        <is>
          <t>Subqueries, CTEs and views (begun)</t>
        </is>
      </c>
      <c r="C9" s="71">
        <f>HYPERLINK("https://github.com/tatwan/ASAC_Data_Science/blob/main/modules/02-sql/README.md","SQL")</f>
        <v/>
      </c>
      <c r="D9" s="72" t="inlineStr">
        <is>
          <t>After class</t>
        </is>
      </c>
      <c r="E9" s="71" t="inlineStr">
        <is>
          <t>-</t>
        </is>
      </c>
      <c r="F9" s="71" t="inlineStr">
        <is>
          <t>-</t>
        </is>
      </c>
    </row>
    <row r="10" ht="34" customHeight="1" s="35">
      <c r="A10" s="88" t="n">
        <v>46303</v>
      </c>
      <c r="B10" s="77" t="inlineStr">
        <is>
          <t>Optional review: SQL so far (D03–D08), 4:00–6:00 PM</t>
        </is>
      </c>
      <c r="C10" s="77">
        <f>HYPERLINK("https://github.com/tatwan/ASAC_Data_Science/blob/main/modules/02-sql/README.md","SQL")</f>
        <v/>
      </c>
      <c r="D10" s="78" t="inlineStr">
        <is>
          <t>No</t>
        </is>
      </c>
      <c r="E10" s="77" t="inlineStr">
        <is>
          <t>-</t>
        </is>
      </c>
      <c r="F10" s="77" t="inlineStr">
        <is>
          <t>-</t>
        </is>
      </c>
    </row>
    <row r="11" ht="34" customHeight="1" s="35">
      <c r="A11" s="50" t="n">
        <v>46306</v>
      </c>
      <c r="B11" s="40" t="inlineStr">
        <is>
          <t>Subqueries and CTEs, then views (D08 continued)</t>
        </is>
      </c>
      <c r="C11" s="40">
        <f>HYPERLINK("https://github.com/tatwan/ASAC_Data_Science/blob/main/modules/02-sql/README.md","SQL")</f>
        <v/>
      </c>
      <c r="D11" s="69" t="inlineStr">
        <is>
          <t>After class</t>
        </is>
      </c>
      <c r="E11" s="40" t="inlineStr">
        <is>
          <t>-</t>
        </is>
      </c>
      <c r="F11" s="40" t="inlineStr">
        <is>
          <t>-</t>
        </is>
      </c>
    </row>
    <row r="12" ht="34" customHeight="1" s="35">
      <c r="A12" s="79" t="n">
        <v>46307</v>
      </c>
      <c r="B12" s="71" t="inlineStr">
        <is>
          <t>Window functions, cloud warehouses and Assignment 1</t>
        </is>
      </c>
      <c r="C12" s="71">
        <f>HYPERLINK("https://github.com/tatwan/ASAC_Data_Science/blob/main/modules/02-sql/README.md","SQL")</f>
        <v/>
      </c>
      <c r="D12" s="72" t="inlineStr">
        <is>
          <t>After class</t>
        </is>
      </c>
      <c r="E12" s="71" t="inlineStr">
        <is>
          <t>Assignment 1</t>
        </is>
      </c>
      <c r="F12" s="71" t="inlineStr">
        <is>
          <t>-</t>
        </is>
      </c>
    </row>
    <row r="13" ht="34" customHeight="1" s="35">
      <c r="A13" s="52" t="n">
        <v>46313</v>
      </c>
      <c r="B13" s="40" t="inlineStr">
        <is>
          <t>Machine learning 1: what learning means, and regression</t>
        </is>
      </c>
      <c r="C13" s="40">
        <f>HYPERLINK("https://github.com/tatwan/ASAC_Data_Science/blob/main/modules/03-machine-learning-and-ai/README.md","Machine learning and AI literacy")</f>
        <v/>
      </c>
      <c r="D13" s="69" t="inlineStr">
        <is>
          <t>After class</t>
        </is>
      </c>
      <c r="E13" s="40" t="inlineStr">
        <is>
          <t>-</t>
        </is>
      </c>
      <c r="F13" s="40" t="inlineStr">
        <is>
          <t>-</t>
        </is>
      </c>
    </row>
    <row r="14" ht="34" customHeight="1" s="35">
      <c r="A14" s="80" t="n">
        <v>46314</v>
      </c>
      <c r="B14" s="71" t="inlineStr">
        <is>
          <t>Machine learning 2: classification, and judging the prediction</t>
        </is>
      </c>
      <c r="C14" s="71">
        <f>HYPERLINK("https://github.com/tatwan/ASAC_Data_Science/blob/main/modules/03-machine-learning-and-ai/README.md","Machine learning and AI literacy")</f>
        <v/>
      </c>
      <c r="D14" s="72" t="inlineStr">
        <is>
          <t>After class</t>
        </is>
      </c>
      <c r="E14" s="71" t="inlineStr">
        <is>
          <t>-</t>
        </is>
      </c>
      <c r="F14" s="71" t="inlineStr">
        <is>
          <t>-</t>
        </is>
      </c>
    </row>
    <row r="15" ht="34" customHeight="1" s="35">
      <c r="A15" s="88" t="n">
        <v>46315</v>
      </c>
      <c r="B15" s="77" t="inlineStr">
        <is>
          <t>Optional support session: SQL and Assignment 1, 4:00–6:00 PM</t>
        </is>
      </c>
      <c r="C15" s="77">
        <f>HYPERLINK("https://github.com/tatwan/ASAC_Data_Science/blob/main/modules/02-sql/README.md","SQL")</f>
        <v/>
      </c>
      <c r="D15" s="78" t="inlineStr">
        <is>
          <t>No</t>
        </is>
      </c>
      <c r="E15" s="77" t="inlineStr">
        <is>
          <t>-</t>
        </is>
      </c>
      <c r="F15" s="77" t="inlineStr">
        <is>
          <t>-</t>
        </is>
      </c>
    </row>
    <row r="16" ht="34" customHeight="1" s="35">
      <c r="A16" s="54" t="n">
        <v>46316</v>
      </c>
      <c r="B16" s="40" t="inlineStr">
        <is>
          <t>Machine learning 3: unsupervised learning and clustering</t>
        </is>
      </c>
      <c r="C16" s="40">
        <f>HYPERLINK("https://github.com/tatwan/ASAC_Data_Science/blob/main/modules/03-machine-learning-and-ai/README.md","Machine learning and AI literacy")</f>
        <v/>
      </c>
      <c r="D16" s="69" t="inlineStr">
        <is>
          <t>After class</t>
        </is>
      </c>
      <c r="E16" s="40" t="inlineStr">
        <is>
          <t>-</t>
        </is>
      </c>
      <c r="F16" s="40" t="inlineStr">
        <is>
          <t>Assignment 1, before 4:00 PM</t>
        </is>
      </c>
    </row>
    <row r="17" ht="34" customHeight="1" s="35">
      <c r="A17" s="81" t="n">
        <v>46320</v>
      </c>
      <c r="B17" s="71" t="inlineStr">
        <is>
          <t>Machine learning 4: improving models</t>
        </is>
      </c>
      <c r="C17" s="71">
        <f>HYPERLINK("https://github.com/tatwan/ASAC_Data_Science/blob/main/modules/03-machine-learning-and-ai/README.md","Machine learning and AI literacy")</f>
        <v/>
      </c>
      <c r="D17" s="72" t="inlineStr">
        <is>
          <t>After class</t>
        </is>
      </c>
      <c r="E17" s="71" t="inlineStr">
        <is>
          <t>-</t>
        </is>
      </c>
      <c r="F17" s="71" t="inlineStr">
        <is>
          <t>-</t>
        </is>
      </c>
    </row>
    <row r="18" ht="34" customHeight="1" s="35">
      <c r="A18" s="56" t="n">
        <v>46321</v>
      </c>
      <c r="B18" s="40" t="inlineStr">
        <is>
          <t>Machine learning 5: forecasting, explaining and serving predictions</t>
        </is>
      </c>
      <c r="C18" s="40">
        <f>HYPERLINK("https://github.com/tatwan/ASAC_Data_Science/blob/main/modules/03-machine-learning-and-ai/README.md","Machine learning and AI literacy")</f>
        <v/>
      </c>
      <c r="D18" s="69" t="inlineStr">
        <is>
          <t>After class</t>
        </is>
      </c>
      <c r="E18" s="40" t="inlineStr">
        <is>
          <t>-</t>
        </is>
      </c>
      <c r="F18" s="40" t="inlineStr">
        <is>
          <t>-</t>
        </is>
      </c>
    </row>
    <row r="19" ht="34" customHeight="1" s="35">
      <c r="A19" s="82" t="n">
        <v>46324</v>
      </c>
      <c r="B19" s="71" t="inlineStr">
        <is>
          <t>ML capstone on new data, then Power BI Desktop and Power Query I</t>
        </is>
      </c>
      <c r="C19" s="71">
        <f>HYPERLINK("https://github.com/tatwan/ASAC_Data_Science/blob/main/modules/04-power-query/README.md","Prepare data with Power Query")</f>
        <v/>
      </c>
      <c r="D19" s="72" t="inlineStr">
        <is>
          <t>After class</t>
        </is>
      </c>
      <c r="E19" s="71" t="inlineStr">
        <is>
          <t>Assignment 2</t>
        </is>
      </c>
      <c r="F19" s="71" t="inlineStr">
        <is>
          <t>-</t>
        </is>
      </c>
    </row>
    <row r="20" ht="34" customHeight="1" s="35">
      <c r="A20" s="58" t="n">
        <v>46327</v>
      </c>
      <c r="B20" s="40" t="inlineStr">
        <is>
          <t>Power Query II: BigQuery, folding and reusable queries</t>
        </is>
      </c>
      <c r="C20" s="40">
        <f>HYPERLINK("https://github.com/tatwan/ASAC_Data_Science/blob/main/modules/04-power-query/README.md","Prepare data with Power Query")</f>
        <v/>
      </c>
      <c r="D20" s="69" t="inlineStr">
        <is>
          <t>After class</t>
        </is>
      </c>
      <c r="E20" s="40" t="inlineStr">
        <is>
          <t>-</t>
        </is>
      </c>
      <c r="F20" s="40" t="inlineStr">
        <is>
          <t>-</t>
        </is>
      </c>
    </row>
    <row r="21" ht="34" customHeight="1" s="35">
      <c r="A21" s="83" t="n">
        <v>46328</v>
      </c>
      <c r="B21" s="71" t="inlineStr">
        <is>
          <t>Model: star schema, relationships and the date table</t>
        </is>
      </c>
      <c r="C21" s="71">
        <f>HYPERLINK("https://github.com/tatwan/ASAC_Data_Science/blob/main/modules/05-data-modeling-and-dax/README.md","Data modelling and DAX")</f>
        <v/>
      </c>
      <c r="D21" s="72" t="inlineStr">
        <is>
          <t>After class</t>
        </is>
      </c>
      <c r="E21" s="71" t="inlineStr">
        <is>
          <t>-</t>
        </is>
      </c>
      <c r="F21" s="71" t="inlineStr">
        <is>
          <t>-</t>
        </is>
      </c>
    </row>
    <row r="22" ht="34" customHeight="1" s="35">
      <c r="A22" s="60" t="n">
        <v>46329</v>
      </c>
      <c r="B22" s="40" t="inlineStr">
        <is>
          <t>DAX I: measures and filter context</t>
        </is>
      </c>
      <c r="C22" s="40">
        <f>HYPERLINK("https://github.com/tatwan/ASAC_Data_Science/blob/main/modules/05-data-modeling-and-dax/README.md","Data modelling and DAX")</f>
        <v/>
      </c>
      <c r="D22" s="69" t="inlineStr">
        <is>
          <t>After class</t>
        </is>
      </c>
      <c r="E22" s="40" t="inlineStr">
        <is>
          <t>-</t>
        </is>
      </c>
      <c r="F22" s="40" t="inlineStr">
        <is>
          <t>-</t>
        </is>
      </c>
    </row>
    <row r="23" ht="34" customHeight="1" s="35">
      <c r="A23" s="84" t="n">
        <v>46330</v>
      </c>
      <c r="B23" s="71" t="inlineStr">
        <is>
          <t>DAX II: time and ranking</t>
        </is>
      </c>
      <c r="C23" s="71">
        <f>HYPERLINK("https://github.com/tatwan/ASAC_Data_Science/blob/main/modules/05-data-modeling-and-dax/README.md","Data modelling and DAX")</f>
        <v/>
      </c>
      <c r="D23" s="72" t="inlineStr">
        <is>
          <t>After class</t>
        </is>
      </c>
      <c r="E23" s="71" t="inlineStr">
        <is>
          <t>Assignment 3</t>
        </is>
      </c>
      <c r="F23" s="71" t="inlineStr">
        <is>
          <t>-</t>
        </is>
      </c>
    </row>
    <row r="24" ht="34" customHeight="1" s="35">
      <c r="A24" s="62" t="n">
        <v>46331</v>
      </c>
      <c r="B24" s="40" t="inlineStr">
        <is>
          <t>Report design and interactivity</t>
        </is>
      </c>
      <c r="C24" s="40">
        <f>HYPERLINK("https://github.com/tatwan/ASAC_Data_Science/blob/main/modules/06-visualization-and-storytelling/README.md","Visualisation and storytelling")</f>
        <v/>
      </c>
      <c r="D24" s="69" t="inlineStr">
        <is>
          <t>After class</t>
        </is>
      </c>
      <c r="E24" s="40" t="inlineStr">
        <is>
          <t>-</t>
        </is>
      </c>
      <c r="F24" s="40" t="inlineStr">
        <is>
          <t>Assignment 2, before 4:00 PM</t>
        </is>
      </c>
    </row>
    <row r="25" ht="34" customHeight="1" s="35">
      <c r="A25" s="85" t="n">
        <v>46334</v>
      </c>
      <c r="B25" s="71" t="inlineStr">
        <is>
          <t>Analyse and tell the story</t>
        </is>
      </c>
      <c r="C25" s="71">
        <f>HYPERLINK("https://github.com/tatwan/ASAC_Data_Science/blob/main/modules/06-visualization-and-storytelling/README.md","Visualisation and storytelling")</f>
        <v/>
      </c>
      <c r="D25" s="72" t="inlineStr">
        <is>
          <t>After class</t>
        </is>
      </c>
      <c r="E25" s="71" t="inlineStr">
        <is>
          <t>Assignment 4 (due before 4:00 PM Sun 15 Nov)</t>
        </is>
      </c>
      <c r="F25" s="71" t="inlineStr">
        <is>
          <t>-</t>
        </is>
      </c>
    </row>
    <row r="26" ht="34" customHeight="1" s="35">
      <c r="A26" s="64" t="n">
        <v>46335</v>
      </c>
      <c r="B26" s="40" t="inlineStr">
        <is>
          <t>Manage and secure Power BI</t>
        </is>
      </c>
      <c r="C26" s="40">
        <f>HYPERLINK("https://github.com/tatwan/ASAC_Data_Science/blob/main/modules/07-power-bi-service/README.md","Manage and secure Power BI")</f>
        <v/>
      </c>
      <c r="D26" s="69" t="inlineStr">
        <is>
          <t>After class</t>
        </is>
      </c>
      <c r="E26" s="40" t="inlineStr">
        <is>
          <t>-</t>
        </is>
      </c>
      <c r="F26" s="40" t="inlineStr">
        <is>
          <t>-</t>
        </is>
      </c>
    </row>
    <row r="27" ht="34" customHeight="1" s="35">
      <c r="A27" s="86" t="n">
        <v>46336</v>
      </c>
      <c r="B27" s="71" t="inlineStr">
        <is>
          <t>Generative AI for analysts</t>
        </is>
      </c>
      <c r="C27" s="71">
        <f>HYPERLINK("https://github.com/tatwan/ASAC_Data_Science/blob/main/modules/03-machine-learning-and-ai/README.md","Machine learning and AI literacy")</f>
        <v/>
      </c>
      <c r="D27" s="72" t="inlineStr">
        <is>
          <t>After class</t>
        </is>
      </c>
      <c r="E27" s="71" t="inlineStr">
        <is>
          <t>-</t>
        </is>
      </c>
      <c r="F27" s="71" t="inlineStr">
        <is>
          <t>-</t>
        </is>
      </c>
    </row>
    <row r="28" ht="34" customHeight="1" s="35">
      <c r="A28" s="66" t="n">
        <v>46337</v>
      </c>
      <c r="B28" s="40" t="inlineStr">
        <is>
          <t>PL-300 review and weak-area clinic</t>
        </is>
      </c>
      <c r="C28" s="40">
        <f>HYPERLINK("https://github.com/tatwan/ASAC_Data_Science/blob/main/modules/08-pl300-and-career-readiness/README.md","PL-300 and career readiness")</f>
        <v/>
      </c>
      <c r="D28" s="69" t="inlineStr">
        <is>
          <t>Yes</t>
        </is>
      </c>
      <c r="E28" s="40" t="inlineStr">
        <is>
          <t>-</t>
        </is>
      </c>
      <c r="F28" s="40" t="inlineStr">
        <is>
          <t>Assignment 3, before 4:00 PM</t>
        </is>
      </c>
    </row>
    <row r="29" ht="34" customHeight="1" s="35">
      <c r="A29" s="87" t="n">
        <v>46338</v>
      </c>
      <c r="B29" s="71" t="inlineStr">
        <is>
          <t>Third-party mock and placement handoff</t>
        </is>
      </c>
      <c r="C29" s="71">
        <f>HYPERLINK("https://github.com/tatwan/ASAC_Data_Science/blob/main/modules/08-pl300-and-career-readiness/README.md","PL-300 and career readiness")</f>
        <v/>
      </c>
      <c r="D29" s="72" t="inlineStr">
        <is>
          <t>No</t>
        </is>
      </c>
      <c r="E29" s="71" t="inlineStr">
        <is>
          <t>-</t>
        </is>
      </c>
      <c r="F29" s="71" t="inlineStr">
        <is>
          <t>-</t>
        </is>
      </c>
    </row>
    <row r="30" ht="34" customHeight="1" s="35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2026-09-27T10:58:27Z</dcterms:created>
  <dcterms:modified xmlns:dcterms="http://purl.org/dc/terms/" xmlns:xsi="http://www.w3.org/2001/XMLSchema-instance" xsi:type="dcterms:W3CDTF">2026-10-17T22:30:18Z</dcterms:modified>
  <cp:revision>0</cp:revision>
</cp:coreProperties>
</file>